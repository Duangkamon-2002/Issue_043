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5_PC5\Downloads\"/>
    </mc:Choice>
  </mc:AlternateContent>
  <xr:revisionPtr revIDLastSave="0" documentId="13_ncr:1_{59C0CBC3-1612-4574-87E2-64D8393E702C}" xr6:coauthVersionLast="47" xr6:coauthVersionMax="47" xr10:uidLastSave="{00000000-0000-0000-0000-000000000000}"/>
  <bookViews>
    <workbookView xWindow="-120" yWindow="-120" windowWidth="29040" windowHeight="15720" xr2:uid="{B2A05281-7184-014A-A418-778819668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21" i="1" s="1"/>
  <c r="D20" i="1"/>
  <c r="D19" i="1"/>
  <c r="D18" i="1"/>
  <c r="D17" i="1"/>
  <c r="D15" i="1"/>
  <c r="R5" i="1"/>
  <c r="R6" i="1"/>
  <c r="R7" i="1"/>
  <c r="R8" i="1"/>
  <c r="R9" i="1"/>
  <c r="R10" i="1"/>
  <c r="M11" i="1"/>
  <c r="N11" i="1" s="1"/>
  <c r="G11" i="1"/>
  <c r="H11" i="1" s="1"/>
  <c r="I11" i="1" s="1"/>
  <c r="M10" i="1"/>
  <c r="N10" i="1" s="1"/>
  <c r="G10" i="1"/>
  <c r="H10" i="1" s="1"/>
  <c r="M9" i="1"/>
  <c r="N9" i="1" s="1"/>
  <c r="G9" i="1"/>
  <c r="H9" i="1" s="1"/>
  <c r="I9" i="1" s="1"/>
  <c r="M8" i="1"/>
  <c r="N8" i="1" s="1"/>
  <c r="G8" i="1"/>
  <c r="H8" i="1" s="1"/>
  <c r="M7" i="1"/>
  <c r="N7" i="1" s="1"/>
  <c r="H7" i="1"/>
  <c r="I7" i="1" s="1"/>
  <c r="G7" i="1"/>
  <c r="M6" i="1"/>
  <c r="N6" i="1" s="1"/>
  <c r="G6" i="1"/>
  <c r="H6" i="1" s="1"/>
  <c r="M5" i="1"/>
  <c r="N5" i="1" s="1"/>
  <c r="G5" i="1"/>
  <c r="H5" i="1" s="1"/>
  <c r="I5" i="1" s="1"/>
  <c r="M4" i="1"/>
  <c r="N4" i="1" s="1"/>
  <c r="G4" i="1"/>
  <c r="H4" i="1" s="1"/>
  <c r="M3" i="1"/>
  <c r="N3" i="1" s="1"/>
  <c r="G3" i="1"/>
  <c r="H3" i="1" s="1"/>
  <c r="Q3" i="1" l="1"/>
  <c r="Q11" i="1"/>
  <c r="R11" i="1" s="1"/>
  <c r="I4" i="1"/>
  <c r="Q4" i="1"/>
  <c r="R4" i="1" s="1"/>
  <c r="I6" i="1"/>
  <c r="Q6" i="1"/>
  <c r="I8" i="1"/>
  <c r="Q8" i="1"/>
  <c r="I10" i="1"/>
  <c r="Q10" i="1"/>
  <c r="Q7" i="1"/>
  <c r="Q5" i="1"/>
  <c r="Q9" i="1"/>
  <c r="D14" i="1" l="1"/>
  <c r="D13" i="1"/>
  <c r="D12" i="1"/>
</calcChain>
</file>

<file path=xl/sharedStrings.xml><?xml version="1.0" encoding="utf-8"?>
<sst xmlns="http://schemas.openxmlformats.org/spreadsheetml/2006/main" count="37" uniqueCount="32">
  <si>
    <t>เลขที่</t>
  </si>
  <si>
    <t>รหัสนักศึกษา</t>
  </si>
  <si>
    <t>ชื่อ-สกุล</t>
  </si>
  <si>
    <t>คะแนนกลางภาค</t>
  </si>
  <si>
    <t>คะแนนปลายภาค</t>
  </si>
  <si>
    <t>คะแนนงาน</t>
  </si>
  <si>
    <t>คะแนนจิตพิสัย</t>
  </si>
  <si>
    <t>คะแนนรวม</t>
  </si>
  <si>
    <t>สอบ 1</t>
  </si>
  <si>
    <t>สอบ 2</t>
  </si>
  <si>
    <t>สอบ 3</t>
  </si>
  <si>
    <t>รวม</t>
  </si>
  <si>
    <t>เก็บจริง</t>
  </si>
  <si>
    <t>ผลสอบ</t>
  </si>
  <si>
    <t>นางสาว กนกกาญจน์  พงศาปาน</t>
  </si>
  <si>
    <t>นางสาว เกศณี ภักดีสงข์</t>
  </si>
  <si>
    <t>นางสาว แก้วกาญจน์ กองแก้ว</t>
  </si>
  <si>
    <t>นางสาว จุฑารัตน์ คงเกื้อ</t>
  </si>
  <si>
    <t>นาย ชาญชัย บุญวงศ์</t>
  </si>
  <si>
    <t>นาย ณัฐพล นราพงศ์</t>
  </si>
  <si>
    <t>นางสาว ธนาพร บุญชู</t>
  </si>
  <si>
    <t>นางสาว นิศานาถ ศรีวิรักษ์</t>
  </si>
  <si>
    <t>คะแนนเฉลี่ย</t>
  </si>
  <si>
    <t>คะแนนสูงสุด</t>
  </si>
  <si>
    <t>คะแนนต่ำสุด</t>
  </si>
  <si>
    <t>เกรด</t>
  </si>
  <si>
    <t>จำนวณนักศึกษาทั้งหมด</t>
  </si>
  <si>
    <t>จำนวณนักศึกษาที่ได้เกรด A</t>
  </si>
  <si>
    <t>จำนวณนักศึกษาที่ได้เกรด B</t>
  </si>
  <si>
    <t>จำนวณนักศึกษาที่ได้เกรด C</t>
  </si>
  <si>
    <t>จำนวณนักศึกษาที่ได้เกรด D</t>
  </si>
  <si>
    <t>จำนวณนักศึกษาที่ได้เกรด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</si>
</sst>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2"/>
      <color theme="1"/>
      <name val="TH Sarabun New"/>
      <family val="2"/>
    </font>
    <font>
      <sz val="14"/>
      <color rgb="FF000000"/>
      <name val="TH Sarabun New"/>
      <family val="2"/>
    </font>
    <font>
      <sz val="18"/>
      <color theme="1"/>
      <name val="TH Sarabun New"/>
      <family val="2"/>
    </font>
    <font>
      <sz val="20"/>
      <color theme="1"/>
      <name val="TH Sarabun New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EDDF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3" fillId="3" borderId="5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1" fillId="2" borderId="10" xfId="0" applyFont="1" applyFill="1" applyBorder="1"/>
    <xf numFmtId="0" fontId="3" fillId="3" borderId="11" xfId="0" applyFont="1" applyFill="1" applyBorder="1" applyAlignment="1">
      <alignment horizontal="center" wrapText="1"/>
    </xf>
    <xf numFmtId="0" fontId="3" fillId="3" borderId="11" xfId="0" quotePrefix="1" applyFont="1" applyFill="1" applyBorder="1" applyAlignment="1">
      <alignment horizontal="center"/>
    </xf>
    <xf numFmtId="0" fontId="2" fillId="0" borderId="0" xfId="0" quotePrefix="1" applyFont="1"/>
    <xf numFmtId="0" fontId="2" fillId="8" borderId="5" xfId="0" applyFont="1" applyFill="1" applyBorder="1"/>
    <xf numFmtId="0" fontId="4" fillId="8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0776-EC72-9047-8325-1C0E15E37D31}">
  <dimension ref="A1:S22"/>
  <sheetViews>
    <sheetView tabSelected="1" workbookViewId="0">
      <selection activeCell="D21" sqref="D21"/>
    </sheetView>
  </sheetViews>
  <sheetFormatPr defaultColWidth="11.5546875" defaultRowHeight="15" x14ac:dyDescent="0.2"/>
  <cols>
    <col min="1" max="1" width="5.6640625" customWidth="1"/>
    <col min="2" max="2" width="13.77734375" customWidth="1"/>
    <col min="3" max="3" width="21.44140625" customWidth="1"/>
    <col min="4" max="4" width="7.44140625" customWidth="1"/>
    <col min="5" max="8" width="6.5546875" customWidth="1"/>
    <col min="9" max="9" width="9.6640625" customWidth="1"/>
    <col min="10" max="14" width="6.88671875" customWidth="1"/>
    <col min="15" max="15" width="8" bestFit="1" customWidth="1"/>
    <col min="16" max="16" width="10" bestFit="1" customWidth="1"/>
    <col min="17" max="17" width="9.5546875" customWidth="1"/>
    <col min="18" max="18" width="10.77734375" customWidth="1"/>
  </cols>
  <sheetData>
    <row r="1" spans="1:19" ht="30.75" customHeight="1" x14ac:dyDescent="0.55000000000000004">
      <c r="A1" s="31" t="s">
        <v>0</v>
      </c>
      <c r="B1" s="34" t="s">
        <v>1</v>
      </c>
      <c r="C1" s="31" t="s">
        <v>2</v>
      </c>
      <c r="D1" s="37" t="s">
        <v>3</v>
      </c>
      <c r="E1" s="38"/>
      <c r="F1" s="38"/>
      <c r="G1" s="38"/>
      <c r="H1" s="38"/>
      <c r="I1" s="39"/>
      <c r="J1" s="40" t="s">
        <v>4</v>
      </c>
      <c r="K1" s="40"/>
      <c r="L1" s="40"/>
      <c r="M1" s="40"/>
      <c r="N1" s="40"/>
      <c r="O1" s="41" t="s">
        <v>5</v>
      </c>
      <c r="P1" s="25" t="s">
        <v>6</v>
      </c>
      <c r="Q1" s="27" t="s">
        <v>7</v>
      </c>
      <c r="R1" s="23" t="s">
        <v>25</v>
      </c>
      <c r="S1" s="1"/>
    </row>
    <row r="2" spans="1:19" ht="24" customHeight="1" x14ac:dyDescent="0.55000000000000004">
      <c r="A2" s="32"/>
      <c r="B2" s="35"/>
      <c r="C2" s="32"/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9" t="s">
        <v>13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42"/>
      <c r="P2" s="26"/>
      <c r="Q2" s="28"/>
      <c r="R2" s="24"/>
      <c r="S2" s="1"/>
    </row>
    <row r="3" spans="1:19" ht="24" x14ac:dyDescent="0.55000000000000004">
      <c r="A3" s="33"/>
      <c r="B3" s="36"/>
      <c r="C3" s="33"/>
      <c r="D3" s="2">
        <v>20</v>
      </c>
      <c r="E3" s="2">
        <v>20</v>
      </c>
      <c r="F3" s="2">
        <v>20</v>
      </c>
      <c r="G3" s="2">
        <f t="shared" ref="G3:G11" si="0">D3+E3+F3</f>
        <v>60</v>
      </c>
      <c r="H3" s="2">
        <f>G3/2</f>
        <v>30</v>
      </c>
      <c r="I3" s="30"/>
      <c r="J3" s="3">
        <v>20</v>
      </c>
      <c r="K3" s="3">
        <v>20</v>
      </c>
      <c r="L3" s="3">
        <v>20</v>
      </c>
      <c r="M3" s="3">
        <f>SUM(J3:L3)</f>
        <v>60</v>
      </c>
      <c r="N3" s="3">
        <f>M3/2</f>
        <v>30</v>
      </c>
      <c r="O3" s="4">
        <v>30</v>
      </c>
      <c r="P3" s="5">
        <v>10</v>
      </c>
      <c r="Q3" s="6">
        <f>SUM(H3,N3:P3)</f>
        <v>100</v>
      </c>
      <c r="R3" s="17"/>
      <c r="S3" s="1"/>
    </row>
    <row r="4" spans="1:19" ht="27" x14ac:dyDescent="0.55000000000000004">
      <c r="A4" s="7">
        <v>1</v>
      </c>
      <c r="B4" s="8">
        <v>354402200001</v>
      </c>
      <c r="C4" s="9" t="s">
        <v>14</v>
      </c>
      <c r="D4" s="10">
        <v>13.5</v>
      </c>
      <c r="E4" s="10">
        <v>18</v>
      </c>
      <c r="F4" s="10">
        <v>10</v>
      </c>
      <c r="G4" s="2">
        <f t="shared" si="0"/>
        <v>41.5</v>
      </c>
      <c r="H4" s="2">
        <f>G4/2</f>
        <v>20.75</v>
      </c>
      <c r="I4" s="2" t="str">
        <f>IF(H4&gt;=15, "ผ่าน", "ไม่ผ่าน")</f>
        <v>ผ่าน</v>
      </c>
      <c r="J4" s="3">
        <v>16</v>
      </c>
      <c r="K4" s="3">
        <v>15</v>
      </c>
      <c r="L4" s="3">
        <v>16</v>
      </c>
      <c r="M4" s="3">
        <f>SUM(J4:L4)</f>
        <v>47</v>
      </c>
      <c r="N4" s="3">
        <f t="shared" ref="N4:N11" si="1">M4/2</f>
        <v>23.5</v>
      </c>
      <c r="O4" s="4">
        <v>28</v>
      </c>
      <c r="P4" s="5">
        <v>9</v>
      </c>
      <c r="Q4" s="6">
        <f t="shared" ref="Q4:Q11" si="2">SUM(H4,N4:P4)</f>
        <v>81.25</v>
      </c>
      <c r="R4" s="18" t="str">
        <f>IF(Q4 &gt;= 80,"A",IF(Q4 &gt;= 70,"B",IF(Q4 &gt;= 60,"C",IF(Q4 &gt;= 50,"D","F"))))</f>
        <v>A</v>
      </c>
      <c r="S4" s="1"/>
    </row>
    <row r="5" spans="1:19" ht="27" x14ac:dyDescent="0.55000000000000004">
      <c r="A5" s="7">
        <v>2</v>
      </c>
      <c r="B5" s="8">
        <v>354402200004</v>
      </c>
      <c r="C5" s="9" t="s">
        <v>15</v>
      </c>
      <c r="D5" s="10">
        <v>19.5</v>
      </c>
      <c r="E5" s="10">
        <v>20</v>
      </c>
      <c r="F5" s="10">
        <v>4.5</v>
      </c>
      <c r="G5" s="2">
        <f t="shared" si="0"/>
        <v>44</v>
      </c>
      <c r="H5" s="2">
        <f t="shared" ref="H5:H11" si="3">G5/2</f>
        <v>22</v>
      </c>
      <c r="I5" s="2" t="str">
        <f>IF(H5&gt;=15, "ผ่าน", "ไม่ผ่าน")</f>
        <v>ผ่าน</v>
      </c>
      <c r="J5" s="3">
        <v>15</v>
      </c>
      <c r="K5" s="3">
        <v>10</v>
      </c>
      <c r="L5" s="3">
        <v>10</v>
      </c>
      <c r="M5" s="3">
        <f>SUM(J5:L5)</f>
        <v>35</v>
      </c>
      <c r="N5" s="3">
        <f t="shared" si="1"/>
        <v>17.5</v>
      </c>
      <c r="O5" s="4">
        <v>22</v>
      </c>
      <c r="P5" s="5">
        <v>10</v>
      </c>
      <c r="Q5" s="6">
        <f t="shared" si="2"/>
        <v>71.5</v>
      </c>
      <c r="R5" s="18" t="str">
        <f>IF(Q5 &gt;= 80,"A",IF(Q5 &gt;= 70,"B",IF(Q5 &gt;= 60,"C",IF(Q5 &gt;= 50,"D","F"))))</f>
        <v>B</v>
      </c>
      <c r="S5" s="1"/>
    </row>
    <row r="6" spans="1:19" ht="27" x14ac:dyDescent="0.55000000000000004">
      <c r="A6" s="7">
        <v>3</v>
      </c>
      <c r="B6" s="8">
        <v>354402200005</v>
      </c>
      <c r="C6" s="9" t="s">
        <v>16</v>
      </c>
      <c r="D6" s="11">
        <v>8.5</v>
      </c>
      <c r="E6" s="11">
        <v>12</v>
      </c>
      <c r="F6" s="11">
        <v>5</v>
      </c>
      <c r="G6" s="2">
        <f t="shared" si="0"/>
        <v>25.5</v>
      </c>
      <c r="H6" s="2">
        <f t="shared" si="3"/>
        <v>12.75</v>
      </c>
      <c r="I6" s="2" t="str">
        <f>IF(H6&gt;=15, "ผ่าน", "ไม่ผ่าน")</f>
        <v>ไม่ผ่าน</v>
      </c>
      <c r="J6" s="3">
        <v>4</v>
      </c>
      <c r="K6" s="3">
        <v>4.5</v>
      </c>
      <c r="L6" s="3">
        <v>11</v>
      </c>
      <c r="M6" s="3">
        <f>SUM(J6:L6)</f>
        <v>19.5</v>
      </c>
      <c r="N6" s="3">
        <f t="shared" si="1"/>
        <v>9.75</v>
      </c>
      <c r="O6" s="4">
        <v>28</v>
      </c>
      <c r="P6" s="5">
        <v>8</v>
      </c>
      <c r="Q6" s="6">
        <f t="shared" si="2"/>
        <v>58.5</v>
      </c>
      <c r="R6" s="18" t="str">
        <f t="shared" ref="R6:R11" si="4">IF(Q6 &gt;= 80,"A",IF(Q6 &gt;= 70,"B",IF(Q6 &gt;= 60,"C",IF(Q6 &gt;= 50,"D","F"))))</f>
        <v>D</v>
      </c>
      <c r="S6" s="1"/>
    </row>
    <row r="7" spans="1:19" ht="27" x14ac:dyDescent="0.55000000000000004">
      <c r="A7" s="7">
        <v>4</v>
      </c>
      <c r="B7" s="8">
        <v>354402200008</v>
      </c>
      <c r="C7" s="9" t="s">
        <v>17</v>
      </c>
      <c r="D7" s="12">
        <v>16.5</v>
      </c>
      <c r="E7" s="12">
        <v>18</v>
      </c>
      <c r="F7" s="12">
        <v>2</v>
      </c>
      <c r="G7" s="2">
        <f t="shared" si="0"/>
        <v>36.5</v>
      </c>
      <c r="H7" s="2">
        <f t="shared" si="3"/>
        <v>18.25</v>
      </c>
      <c r="I7" s="2" t="str">
        <f t="shared" ref="I7:I11" si="5">IF(H7&gt;=15, "ผ่าน", "ไม่ผ่าน")</f>
        <v>ผ่าน</v>
      </c>
      <c r="J7" s="3">
        <v>6.5</v>
      </c>
      <c r="K7" s="3">
        <v>10</v>
      </c>
      <c r="L7" s="3">
        <v>7</v>
      </c>
      <c r="M7" s="3">
        <f t="shared" ref="M7:M11" si="6">SUM(J7:L7)</f>
        <v>23.5</v>
      </c>
      <c r="N7" s="3">
        <f t="shared" si="1"/>
        <v>11.75</v>
      </c>
      <c r="O7" s="4">
        <v>21</v>
      </c>
      <c r="P7" s="5">
        <v>10</v>
      </c>
      <c r="Q7" s="6">
        <f t="shared" si="2"/>
        <v>61</v>
      </c>
      <c r="R7" s="18" t="str">
        <f t="shared" si="4"/>
        <v>C</v>
      </c>
      <c r="S7" s="1"/>
    </row>
    <row r="8" spans="1:19" ht="27" x14ac:dyDescent="0.55000000000000004">
      <c r="A8" s="7">
        <v>5</v>
      </c>
      <c r="B8" s="8">
        <v>354402200012</v>
      </c>
      <c r="C8" s="9" t="s">
        <v>18</v>
      </c>
      <c r="D8" s="12">
        <v>12</v>
      </c>
      <c r="E8" s="12">
        <v>18</v>
      </c>
      <c r="F8" s="12">
        <v>15</v>
      </c>
      <c r="G8" s="2">
        <f t="shared" si="0"/>
        <v>45</v>
      </c>
      <c r="H8" s="2">
        <f t="shared" si="3"/>
        <v>22.5</v>
      </c>
      <c r="I8" s="2" t="str">
        <f t="shared" si="5"/>
        <v>ผ่าน</v>
      </c>
      <c r="J8" s="3">
        <v>18</v>
      </c>
      <c r="K8" s="3">
        <v>16</v>
      </c>
      <c r="L8" s="3">
        <v>16</v>
      </c>
      <c r="M8" s="3">
        <f t="shared" si="6"/>
        <v>50</v>
      </c>
      <c r="N8" s="3">
        <f t="shared" si="1"/>
        <v>25</v>
      </c>
      <c r="O8" s="4">
        <v>18</v>
      </c>
      <c r="P8" s="5">
        <v>9</v>
      </c>
      <c r="Q8" s="6">
        <f t="shared" si="2"/>
        <v>74.5</v>
      </c>
      <c r="R8" s="18" t="str">
        <f t="shared" si="4"/>
        <v>B</v>
      </c>
      <c r="S8" s="1"/>
    </row>
    <row r="9" spans="1:19" ht="27" x14ac:dyDescent="0.55000000000000004">
      <c r="A9" s="7">
        <v>6</v>
      </c>
      <c r="B9" s="8">
        <v>354402200017</v>
      </c>
      <c r="C9" s="9" t="s">
        <v>19</v>
      </c>
      <c r="D9" s="12">
        <v>9.5</v>
      </c>
      <c r="E9" s="12">
        <v>16</v>
      </c>
      <c r="F9" s="2">
        <v>12</v>
      </c>
      <c r="G9" s="2">
        <f t="shared" si="0"/>
        <v>37.5</v>
      </c>
      <c r="H9" s="2">
        <f t="shared" si="3"/>
        <v>18.75</v>
      </c>
      <c r="I9" s="2" t="str">
        <f t="shared" si="5"/>
        <v>ผ่าน</v>
      </c>
      <c r="J9" s="3">
        <v>10</v>
      </c>
      <c r="K9" s="3">
        <v>8</v>
      </c>
      <c r="L9" s="3">
        <v>11</v>
      </c>
      <c r="M9" s="3">
        <f t="shared" si="6"/>
        <v>29</v>
      </c>
      <c r="N9" s="3">
        <f t="shared" si="1"/>
        <v>14.5</v>
      </c>
      <c r="O9" s="4">
        <v>23</v>
      </c>
      <c r="P9" s="5">
        <v>8</v>
      </c>
      <c r="Q9" s="6">
        <f t="shared" si="2"/>
        <v>64.25</v>
      </c>
      <c r="R9" s="18" t="str">
        <f t="shared" si="4"/>
        <v>C</v>
      </c>
      <c r="S9" s="1"/>
    </row>
    <row r="10" spans="1:19" ht="27" x14ac:dyDescent="0.55000000000000004">
      <c r="A10" s="7">
        <v>7</v>
      </c>
      <c r="B10" s="8">
        <v>354402200024</v>
      </c>
      <c r="C10" s="9" t="s">
        <v>20</v>
      </c>
      <c r="D10" s="12">
        <v>7.5</v>
      </c>
      <c r="E10" s="12">
        <v>7</v>
      </c>
      <c r="F10" s="2">
        <v>10</v>
      </c>
      <c r="G10" s="2">
        <f t="shared" si="0"/>
        <v>24.5</v>
      </c>
      <c r="H10" s="2">
        <f t="shared" si="3"/>
        <v>12.25</v>
      </c>
      <c r="I10" s="2" t="str">
        <f t="shared" si="5"/>
        <v>ไม่ผ่าน</v>
      </c>
      <c r="J10" s="3">
        <v>11</v>
      </c>
      <c r="K10" s="3">
        <v>17</v>
      </c>
      <c r="L10" s="3">
        <v>5</v>
      </c>
      <c r="M10" s="3">
        <f t="shared" si="6"/>
        <v>33</v>
      </c>
      <c r="N10" s="3">
        <f t="shared" si="1"/>
        <v>16.5</v>
      </c>
      <c r="O10" s="4">
        <v>20</v>
      </c>
      <c r="P10" s="5">
        <v>8</v>
      </c>
      <c r="Q10" s="6">
        <f t="shared" si="2"/>
        <v>56.75</v>
      </c>
      <c r="R10" s="18" t="str">
        <f t="shared" si="4"/>
        <v>D</v>
      </c>
      <c r="S10" s="1"/>
    </row>
    <row r="11" spans="1:19" ht="27" x14ac:dyDescent="0.55000000000000004">
      <c r="A11" s="7">
        <v>8</v>
      </c>
      <c r="B11" s="8">
        <v>354402200030</v>
      </c>
      <c r="C11" s="13" t="s">
        <v>21</v>
      </c>
      <c r="D11" s="14">
        <v>7</v>
      </c>
      <c r="E11" s="12">
        <v>9</v>
      </c>
      <c r="F11" s="2">
        <v>7</v>
      </c>
      <c r="G11" s="2">
        <f t="shared" si="0"/>
        <v>23</v>
      </c>
      <c r="H11" s="2">
        <f t="shared" si="3"/>
        <v>11.5</v>
      </c>
      <c r="I11" s="2" t="str">
        <f t="shared" si="5"/>
        <v>ไม่ผ่าน</v>
      </c>
      <c r="J11" s="3">
        <v>4.5</v>
      </c>
      <c r="K11" s="3">
        <v>2</v>
      </c>
      <c r="L11" s="3">
        <v>8</v>
      </c>
      <c r="M11" s="3">
        <f t="shared" si="6"/>
        <v>14.5</v>
      </c>
      <c r="N11" s="3">
        <f t="shared" si="1"/>
        <v>7.25</v>
      </c>
      <c r="O11" s="4">
        <v>21</v>
      </c>
      <c r="P11" s="5">
        <v>9</v>
      </c>
      <c r="Q11" s="6">
        <f t="shared" si="2"/>
        <v>48.75</v>
      </c>
      <c r="R11" s="18" t="str">
        <f t="shared" si="4"/>
        <v>F</v>
      </c>
      <c r="S11" s="1"/>
    </row>
    <row r="12" spans="1:19" ht="24" x14ac:dyDescent="0.55000000000000004">
      <c r="A12" s="1"/>
      <c r="B12" s="1"/>
      <c r="C12" s="9" t="s">
        <v>22</v>
      </c>
      <c r="D12" s="15">
        <f>ROUND(AVERAGE(Q4:Q11),2)</f>
        <v>64.56</v>
      </c>
      <c r="E12" s="1"/>
      <c r="F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4" x14ac:dyDescent="0.55000000000000004">
      <c r="A13" s="1"/>
      <c r="B13" s="1"/>
      <c r="C13" s="9" t="s">
        <v>23</v>
      </c>
      <c r="D13" s="15">
        <f>MAX(Q4:Q11)</f>
        <v>81.25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x14ac:dyDescent="0.55000000000000004">
      <c r="A14" s="1"/>
      <c r="B14" s="1"/>
      <c r="C14" s="9" t="s">
        <v>24</v>
      </c>
      <c r="D14" s="15">
        <f>MIN(Q4:Q11)</f>
        <v>48.75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" customHeight="1" x14ac:dyDescent="0.55000000000000004">
      <c r="C15" s="19" t="s">
        <v>26</v>
      </c>
      <c r="D15" s="20">
        <f>COUNT(B4:B11)</f>
        <v>8</v>
      </c>
    </row>
    <row r="16" spans="1:19" ht="24" customHeight="1" x14ac:dyDescent="0.55000000000000004">
      <c r="C16" s="9" t="s">
        <v>27</v>
      </c>
      <c r="D16" s="20">
        <f>COUNTIF(R4:R11,"A")</f>
        <v>1</v>
      </c>
    </row>
    <row r="17" spans="3:4" ht="24" customHeight="1" x14ac:dyDescent="0.55000000000000004">
      <c r="C17" s="9" t="s">
        <v>28</v>
      </c>
      <c r="D17" s="20">
        <f>COUNTIF(R5:R12,"B")</f>
        <v>2</v>
      </c>
    </row>
    <row r="18" spans="3:4" ht="24" customHeight="1" x14ac:dyDescent="0.55000000000000004">
      <c r="C18" s="9" t="s">
        <v>29</v>
      </c>
      <c r="D18" s="20">
        <f>COUNTIF(R6:R13,"C")</f>
        <v>2</v>
      </c>
    </row>
    <row r="19" spans="3:4" ht="24" customHeight="1" x14ac:dyDescent="0.55000000000000004">
      <c r="C19" s="9" t="s">
        <v>30</v>
      </c>
      <c r="D19" s="20">
        <f>COUNTIF(R7:R14,"D")</f>
        <v>1</v>
      </c>
    </row>
    <row r="20" spans="3:4" ht="24" customHeight="1" x14ac:dyDescent="0.55000000000000004">
      <c r="C20" s="9" t="s">
        <v>31</v>
      </c>
      <c r="D20" s="21">
        <f>COUNTIF(R8:R15,"F")</f>
        <v>1</v>
      </c>
    </row>
    <row r="21" spans="3:4" ht="24" customHeight="1" x14ac:dyDescent="0.2">
      <c r="D21" s="22">
        <f>SUM(D16:D20)</f>
        <v>7</v>
      </c>
    </row>
    <row r="22" spans="3:4" ht="24" customHeight="1" x14ac:dyDescent="0.2"/>
  </sheetData>
  <mergeCells count="10">
    <mergeCell ref="R1:R2"/>
    <mergeCell ref="P1:P2"/>
    <mergeCell ref="Q1:Q2"/>
    <mergeCell ref="I2:I3"/>
    <mergeCell ref="A1:A3"/>
    <mergeCell ref="B1:B3"/>
    <mergeCell ref="C1:C3"/>
    <mergeCell ref="D1:I1"/>
    <mergeCell ref="J1:N1"/>
    <mergeCell ref="O1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visalak khunthanarungroj</dc:creator>
  <cp:lastModifiedBy>CS5_PC5</cp:lastModifiedBy>
  <dcterms:created xsi:type="dcterms:W3CDTF">2025-09-03T07:20:57Z</dcterms:created>
  <dcterms:modified xsi:type="dcterms:W3CDTF">2025-09-08T06:42:45Z</dcterms:modified>
</cp:coreProperties>
</file>